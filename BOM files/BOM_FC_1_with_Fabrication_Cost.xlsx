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FC_1-PCB_PCB_FC_2026-10-21" sheetId="1" state="visible" r:id="rId1"/>
    <sheet xmlns:r="http://schemas.openxmlformats.org/officeDocument/2006/relationships" name="Fabrication Cost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color rgb="00666666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100" workbookViewId="0">
      <selection activeCell="A1" sqref="A1"/>
    </sheetView>
  </sheetViews>
  <sheetFormatPr baseColWidth="8" defaultRowHeight="15" outlineLevelRow="0"/>
  <cols>
    <col width="6" customWidth="1" min="1" max="12"/>
    <col width="9" customWidth="1" min="2" max="2"/>
    <col width="32" customWidth="1" min="3" max="3"/>
    <col width="40" customWidth="1" min="4" max="4"/>
    <col width="32" customWidth="1" min="5" max="5"/>
    <col width="8" customWidth="1" min="6" max="6"/>
    <col width="18" customWidth="1" min="7" max="7"/>
    <col width="24" customWidth="1" min="8" max="8"/>
    <col width="14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JLCPCB Price</t>
        </is>
      </c>
      <c r="L1" s="1" t="inlineStr">
        <is>
          <t>LCSC Price</t>
        </is>
      </c>
      <c r="M1" s="1" t="inlineStr">
        <is>
          <t>Line Total (USD)</t>
        </is>
      </c>
    </row>
    <row r="2">
      <c r="A2" t="inlineStr">
        <is>
          <t>1</t>
        </is>
      </c>
      <c r="B2" t="n">
        <v>1</v>
      </c>
      <c r="C2" t="inlineStr">
        <is>
          <t>ESP32-DEVKIT-V1-30PIN</t>
        </is>
      </c>
      <c r="D2" t="inlineStr">
        <is>
          <t>2</t>
        </is>
      </c>
      <c r="E2" t="inlineStr">
        <is>
          <t>ESP32-DEVKITV1_ESP32-DEVKITV1</t>
        </is>
      </c>
      <c r="L2" t="inlineStr">
        <is>
          <t>769.0059</t>
        </is>
      </c>
    </row>
    <row r="3">
      <c r="A3" t="inlineStr">
        <is>
          <t>2</t>
        </is>
      </c>
      <c r="B3" t="n">
        <v>8</v>
      </c>
      <c r="C3" t="inlineStr">
        <is>
          <t>171825-4</t>
        </is>
      </c>
      <c r="D3" t="inlineStr">
        <is>
          <t>IIC_RAIL_1,IIC_RAIL_2,IIC_RAIL_3,IIC_RAIL_4,MOT5ESC,MOT6ESC,MOT7ESC,MOT8ESC</t>
        </is>
      </c>
      <c r="E3" t="inlineStr">
        <is>
          <t>HDR-TH_4P-P2.54-D1.0</t>
        </is>
      </c>
      <c r="G3" t="inlineStr">
        <is>
          <t>171825-4</t>
        </is>
      </c>
      <c r="H3" t="inlineStr">
        <is>
          <t>TE Connectivity(泰科电子)</t>
        </is>
      </c>
      <c r="I3" t="inlineStr">
        <is>
          <t>C210162</t>
        </is>
      </c>
      <c r="J3" t="inlineStr">
        <is>
          <t>LCSC</t>
        </is>
      </c>
      <c r="K3" t="n">
        <v>0.035</v>
      </c>
      <c r="M3" s="2">
        <f>B3*K3</f>
        <v/>
      </c>
    </row>
    <row r="4">
      <c r="A4" t="inlineStr">
        <is>
          <t>3</t>
        </is>
      </c>
      <c r="B4" t="n">
        <v>1</v>
      </c>
      <c r="C4" t="inlineStr">
        <is>
          <t>MPU6050</t>
        </is>
      </c>
      <c r="D4" t="inlineStr">
        <is>
          <t>M1</t>
        </is>
      </c>
      <c r="E4" t="inlineStr">
        <is>
          <t>MPU6050</t>
        </is>
      </c>
      <c r="L4" t="inlineStr">
        <is>
          <t>769.0059</t>
        </is>
      </c>
    </row>
    <row r="5">
      <c r="A5" t="inlineStr">
        <is>
          <t>4</t>
        </is>
      </c>
      <c r="B5" t="n">
        <v>2</v>
      </c>
      <c r="C5" t="inlineStr">
        <is>
          <t>1</t>
        </is>
      </c>
      <c r="D5" t="inlineStr">
        <is>
          <t>RC_POW2,RX_TX2</t>
        </is>
      </c>
      <c r="E5" t="inlineStr">
        <is>
          <t>BERG2</t>
        </is>
      </c>
      <c r="G5" t="inlineStr">
        <is>
          <t>Berg2</t>
        </is>
      </c>
      <c r="L5" t="inlineStr">
        <is>
          <t>769.0059</t>
        </is>
      </c>
    </row>
    <row r="6">
      <c r="A6" t="inlineStr">
        <is>
          <t>5</t>
        </is>
      </c>
      <c r="B6" t="n">
        <v>1</v>
      </c>
      <c r="C6" t="inlineStr">
        <is>
          <t>BERG RAIL_6 RC receiver 6ch pwm</t>
        </is>
      </c>
      <c r="D6" t="inlineStr">
        <is>
          <t>U2</t>
        </is>
      </c>
      <c r="E6" t="inlineStr">
        <is>
          <t>BERG_6</t>
        </is>
      </c>
      <c r="L6" t="inlineStr">
        <is>
          <t>769.0059</t>
        </is>
      </c>
    </row>
    <row r="7">
      <c r="A7" t="inlineStr">
        <is>
          <t>6</t>
        </is>
      </c>
      <c r="B7" t="n">
        <v>1</v>
      </c>
      <c r="C7" t="inlineStr">
        <is>
          <t>300Ω</t>
        </is>
      </c>
      <c r="D7" t="inlineStr">
        <is>
          <t>U3</t>
        </is>
      </c>
      <c r="E7" t="inlineStr">
        <is>
          <t>RES-TH_BD3.8-L10.3-P14.30-D0.7</t>
        </is>
      </c>
      <c r="G7" t="inlineStr">
        <is>
          <t>OF301JE</t>
        </is>
      </c>
      <c r="H7" t="inlineStr">
        <is>
          <t>Ohmite</t>
        </is>
      </c>
      <c r="I7" t="inlineStr">
        <is>
          <t>C3395810</t>
        </is>
      </c>
      <c r="J7" t="inlineStr">
        <is>
          <t>LCSC</t>
        </is>
      </c>
      <c r="K7" t="n">
        <v>0.06320000000000001</v>
      </c>
      <c r="M7" s="2">
        <f>B7*K7</f>
        <v/>
      </c>
    </row>
    <row r="8">
      <c r="A8" t="inlineStr">
        <is>
          <t>7</t>
        </is>
      </c>
      <c r="B8" t="n">
        <v>1</v>
      </c>
      <c r="C8" t="inlineStr">
        <is>
          <t>15400394A3590</t>
        </is>
      </c>
      <c r="D8" t="inlineStr">
        <is>
          <t>U4</t>
        </is>
      </c>
      <c r="E8" t="inlineStr">
        <is>
          <t>LED-TH_BD3.0-P2.54-RD-RED</t>
        </is>
      </c>
      <c r="G8" t="inlineStr">
        <is>
          <t>15400394A3590</t>
        </is>
      </c>
      <c r="H8" t="inlineStr">
        <is>
          <t>Wurth(伍尔特)</t>
        </is>
      </c>
      <c r="I8" t="inlineStr">
        <is>
          <t>C5478689</t>
        </is>
      </c>
      <c r="J8" t="inlineStr">
        <is>
          <t>LCSC</t>
        </is>
      </c>
      <c r="K8" t="n">
        <v>0.0586</v>
      </c>
      <c r="M8" s="2">
        <f>B8*K8</f>
        <v/>
      </c>
    </row>
    <row r="9">
      <c r="L9" s="3" t="inlineStr">
        <is>
          <t>Priced parts total</t>
        </is>
      </c>
      <c r="M9" s="4">
        <f>SUM(M2:M8)</f>
        <v/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12" customWidth="1" min="4" max="4"/>
  </cols>
  <sheetData>
    <row r="1">
      <c r="A1" s="5" t="inlineStr">
        <is>
          <t>PCB Fabrication Cost Estimate (JLCPCB)</t>
        </is>
      </c>
    </row>
    <row r="2">
      <c r="A2" s="6" t="inlineStr">
        <is>
          <t>Estimates only - confirm by uploading Gerbers to JLCPCB. Edit blue cells.</t>
        </is>
      </c>
    </row>
    <row r="3"/>
    <row r="4">
      <c r="A4" s="1" t="inlineStr">
        <is>
          <t>Item</t>
        </is>
      </c>
      <c r="B4" s="1" t="inlineStr">
        <is>
          <t>Assumption</t>
        </is>
      </c>
      <c r="C4" s="1" t="inlineStr">
        <is>
          <t>Low (USD)</t>
        </is>
      </c>
      <c r="D4" s="1" t="inlineStr">
        <is>
          <t>High (USD)</t>
        </is>
      </c>
    </row>
    <row r="5">
      <c r="A5" t="inlineStr">
        <is>
          <t>Bare PCB (5 pcs)</t>
        </is>
      </c>
      <c r="B5" t="inlineStr">
        <is>
          <t>2 layers, &lt;=100x100 mm, 1.6 mm, HASL</t>
        </is>
      </c>
      <c r="C5" s="7" t="n">
        <v>2</v>
      </c>
      <c r="D5" s="7" t="n">
        <v>2</v>
      </c>
    </row>
    <row r="6">
      <c r="A6" t="inlineStr">
        <is>
          <t>Shipping to India</t>
        </is>
      </c>
      <c r="B6" t="inlineStr">
        <is>
          <t>Express courier, varies by weight</t>
        </is>
      </c>
      <c r="C6" s="7" t="n">
        <v>15</v>
      </c>
      <c r="D6" s="7" t="n">
        <v>25</v>
      </c>
    </row>
    <row r="7">
      <c r="A7" t="inlineStr">
        <is>
          <t>Customs / GST (India)</t>
        </is>
      </c>
      <c r="B7" t="inlineStr">
        <is>
          <t>Import charges</t>
        </is>
      </c>
      <c r="C7" s="7" t="n">
        <v>3</v>
      </c>
      <c r="D7" s="7" t="n">
        <v>6</v>
      </c>
    </row>
    <row r="8">
      <c r="A8" s="3" t="inlineStr">
        <is>
          <t>Fabrication total</t>
        </is>
      </c>
      <c r="B8" s="3" t="inlineStr"/>
      <c r="C8" s="8">
        <f>SUM(C5:C7)</f>
        <v/>
      </c>
      <c r="D8" s="8">
        <f>SUM(D5:D7)</f>
        <v/>
      </c>
    </row>
    <row r="9">
      <c r="C9" s="9" t="inlineStr"/>
      <c r="D9" s="9" t="inlineStr"/>
    </row>
    <row r="10">
      <c r="A10" t="inlineStr">
        <is>
          <t>Priced components (from BOM sheet)</t>
        </is>
      </c>
      <c r="B10" t="inlineStr">
        <is>
          <t>ESP32, MPU6050, BERG headers unpriced</t>
        </is>
      </c>
      <c r="C10" s="9">
        <f>'BOM_FC_1-PCB_PCB_FC_2026-10-21'!M9</f>
        <v/>
      </c>
      <c r="D10" s="9">
        <f>'BOM_FC_1-PCB_PCB_FC_2026-10-21'!M9</f>
        <v/>
      </c>
    </row>
    <row r="11">
      <c r="A11" s="3" t="inlineStr">
        <is>
          <t>Grand total (fab + priced parts)</t>
        </is>
      </c>
      <c r="B11" s="3" t="inlineStr"/>
      <c r="C11" s="8">
        <f>C8+C10</f>
        <v/>
      </c>
      <c r="D11" s="8">
        <f>D8+D10</f>
        <v/>
      </c>
    </row>
    <row r="12"/>
    <row r="13">
      <c r="A13" t="inlineStr">
        <is>
          <t>Note: all parts are through-hole/modules, so JLCPCB SMT assembly is not included (hand-solder).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2026-10-21T08:28:57Z</dcterms:created>
  <dcterms:modified xmlns:dcterms="http://purl.org/dc/terms/" xmlns:xsi="http://www.w3.org/2001/XMLSchema-instance" xsi:type="dcterms:W3CDTF">2026-10-21T08:33:39Z</dcterms:modified>
  <cp:lastModifiedBy>jlceda</cp:lastModifiedBy>
</cp:coreProperties>
</file>